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/>
  <mc:AlternateContent xmlns:mc="http://schemas.openxmlformats.org/markup-compatibility/2006">
    <mc:Choice Requires="x15">
      <x15ac:absPath xmlns:x15ac="http://schemas.microsoft.com/office/spreadsheetml/2010/11/ac" url="https://d.docs.live.net/892dc484d4428be5/Desktop/"/>
    </mc:Choice>
  </mc:AlternateContent>
  <xr:revisionPtr revIDLastSave="0" documentId="8_{2C6A5CDF-315B-4CFA-971E-FDBCB059B0C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2" l="1"/>
  <c r="M7" i="2"/>
  <c r="M6" i="2"/>
  <c r="M5" i="2"/>
  <c r="M4" i="2"/>
  <c r="M3" i="2"/>
  <c r="M2" i="2"/>
  <c r="M8" i="3"/>
  <c r="M7" i="3"/>
  <c r="M6" i="3"/>
  <c r="M5" i="3"/>
  <c r="M4" i="3"/>
  <c r="M3" i="3"/>
  <c r="M2" i="3"/>
  <c r="M8" i="1"/>
  <c r="M7" i="1"/>
  <c r="M6" i="1"/>
  <c r="M5" i="1"/>
  <c r="M4" i="1"/>
  <c r="M3" i="1"/>
  <c r="M2" i="1"/>
</calcChain>
</file>

<file path=xl/sharedStrings.xml><?xml version="1.0" encoding="utf-8"?>
<sst xmlns="http://schemas.openxmlformats.org/spreadsheetml/2006/main" count="291" uniqueCount="63">
  <si>
    <t>Order ID</t>
  </si>
  <si>
    <t>Customer Name</t>
  </si>
  <si>
    <t>Product</t>
  </si>
  <si>
    <t>Category</t>
  </si>
  <si>
    <t>Quantity</t>
  </si>
  <si>
    <t>Price per Unit</t>
  </si>
  <si>
    <t>Order Date</t>
  </si>
  <si>
    <t>Delivery Status</t>
  </si>
  <si>
    <t>Discount (%)</t>
  </si>
  <si>
    <t>Total Amount</t>
  </si>
  <si>
    <t>John Doe</t>
  </si>
  <si>
    <t>Laptop</t>
  </si>
  <si>
    <t>Electronics</t>
  </si>
  <si>
    <t>Delivered</t>
  </si>
  <si>
    <t>Jane Smith</t>
  </si>
  <si>
    <t>Office Chair</t>
  </si>
  <si>
    <t>Furniture</t>
  </si>
  <si>
    <t>Pending</t>
  </si>
  <si>
    <t>Alex Johnson</t>
  </si>
  <si>
    <t>Desk Lamp</t>
  </si>
  <si>
    <t>Lighting</t>
  </si>
  <si>
    <t>Emily Davis</t>
  </si>
  <si>
    <t>Refrigerator</t>
  </si>
  <si>
    <t>Appliances</t>
  </si>
  <si>
    <t>Michael Brown</t>
  </si>
  <si>
    <t>TV</t>
  </si>
  <si>
    <t>Cancelled</t>
  </si>
  <si>
    <t>Sarah Wilson</t>
  </si>
  <si>
    <t>Dining Table</t>
  </si>
  <si>
    <t>David Martinez</t>
  </si>
  <si>
    <t>Air Conditioner</t>
  </si>
  <si>
    <t>Sophia Garcia</t>
  </si>
  <si>
    <t>Ceiling Fan</t>
  </si>
  <si>
    <t>Robert Lee</t>
  </si>
  <si>
    <t>Microwave</t>
  </si>
  <si>
    <t>Olivia Thomas</t>
  </si>
  <si>
    <t>Bookshelf</t>
  </si>
  <si>
    <t>Mark White</t>
  </si>
  <si>
    <t>Smartwatch</t>
  </si>
  <si>
    <t>Jessica Adams</t>
  </si>
  <si>
    <t>William Harris</t>
  </si>
  <si>
    <t>Coffee Table</t>
  </si>
  <si>
    <t>Elizabeth Clark</t>
  </si>
  <si>
    <t>Toaster</t>
  </si>
  <si>
    <t>Christopher Lewis</t>
  </si>
  <si>
    <t>Headphones</t>
  </si>
  <si>
    <t>Daniel Walker</t>
  </si>
  <si>
    <t>Vacuum Cleaner</t>
  </si>
  <si>
    <t>Emma Scott</t>
  </si>
  <si>
    <t>Sofa</t>
  </si>
  <si>
    <t>James King</t>
  </si>
  <si>
    <t>TV Stand</t>
  </si>
  <si>
    <t>Isabella Moore</t>
  </si>
  <si>
    <t>Floor Lamp</t>
  </si>
  <si>
    <t>Benjamin Carter</t>
  </si>
  <si>
    <t>Washing Machine</t>
  </si>
  <si>
    <t>Total Sales</t>
  </si>
  <si>
    <t>Appliances Sales</t>
  </si>
  <si>
    <t>Electronic Sales</t>
  </si>
  <si>
    <t>Furniture Sales</t>
  </si>
  <si>
    <t>Lighting Sales</t>
  </si>
  <si>
    <t>Delivered Orders</t>
  </si>
  <si>
    <t>Pending Orders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</si>
</sst>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vertical="center"/>
    </xf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</cellXfs>
  <cellStyles count="1">
    <cellStyle name="Normal" xfId="0" builtinId="0"/>
  </cellStyles>
  <dxfs count="6"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"/>
  <sheetViews>
    <sheetView tabSelected="1" workbookViewId="0">
      <selection activeCell="N9" sqref="N9"/>
    </sheetView>
  </sheetViews>
  <sheetFormatPr defaultRowHeight="14.4" x14ac:dyDescent="0.3"/>
  <cols>
    <col min="1" max="1" width="8" bestFit="1" customWidth="1"/>
    <col min="2" max="2" width="15.5546875" bestFit="1" customWidth="1"/>
    <col min="3" max="3" width="15.44140625" bestFit="1" customWidth="1"/>
    <col min="4" max="4" width="9.88671875" bestFit="1" customWidth="1"/>
    <col min="6" max="6" width="12.33203125" bestFit="1" customWidth="1"/>
    <col min="7" max="7" width="10.109375" bestFit="1" customWidth="1"/>
    <col min="8" max="8" width="13.5546875" bestFit="1" customWidth="1"/>
    <col min="9" max="9" width="11.5546875" bestFit="1" customWidth="1"/>
    <col min="10" max="10" width="12.5546875" bestFit="1" customWidth="1"/>
    <col min="12" max="12" width="14.6640625" bestFit="1" customWidth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3" x14ac:dyDescent="0.3">
      <c r="A2" s="1">
        <v>101</v>
      </c>
      <c r="B2" s="1" t="s">
        <v>10</v>
      </c>
      <c r="C2" s="1" t="s">
        <v>11</v>
      </c>
      <c r="D2" s="1" t="s">
        <v>12</v>
      </c>
      <c r="E2" s="1">
        <v>1</v>
      </c>
      <c r="F2" s="4">
        <v>1200</v>
      </c>
      <c r="G2" s="2">
        <v>45306</v>
      </c>
      <c r="H2" s="1" t="s">
        <v>13</v>
      </c>
      <c r="I2" s="1">
        <v>5</v>
      </c>
      <c r="J2" s="4">
        <v>1140</v>
      </c>
      <c r="L2" s="7" t="s">
        <v>56</v>
      </c>
      <c r="M2" s="6">
        <f>SUM(J2:J21)</f>
        <v>9312</v>
      </c>
    </row>
    <row r="3" spans="1:13" x14ac:dyDescent="0.3">
      <c r="A3" s="1">
        <v>102</v>
      </c>
      <c r="B3" s="1" t="s">
        <v>14</v>
      </c>
      <c r="C3" s="1" t="s">
        <v>15</v>
      </c>
      <c r="D3" s="1" t="s">
        <v>16</v>
      </c>
      <c r="E3" s="1">
        <v>3</v>
      </c>
      <c r="F3" s="4">
        <v>150</v>
      </c>
      <c r="G3" s="2">
        <v>45308</v>
      </c>
      <c r="H3" s="1" t="s">
        <v>17</v>
      </c>
      <c r="I3" s="1">
        <v>10</v>
      </c>
      <c r="J3" s="4">
        <v>405</v>
      </c>
      <c r="L3" s="7" t="s">
        <v>57</v>
      </c>
      <c r="M3" s="5">
        <f>SUMIF(D2:D21,"Appliances",J2:J21)</f>
        <v>2732</v>
      </c>
    </row>
    <row r="4" spans="1:13" x14ac:dyDescent="0.3">
      <c r="A4" s="1">
        <v>103</v>
      </c>
      <c r="B4" s="1" t="s">
        <v>18</v>
      </c>
      <c r="C4" s="1" t="s">
        <v>19</v>
      </c>
      <c r="D4" s="1" t="s">
        <v>20</v>
      </c>
      <c r="E4" s="1">
        <v>5</v>
      </c>
      <c r="F4" s="4">
        <v>30</v>
      </c>
      <c r="G4" s="2">
        <v>45310</v>
      </c>
      <c r="H4" s="1" t="s">
        <v>13</v>
      </c>
      <c r="I4" s="1">
        <v>0</v>
      </c>
      <c r="J4" s="4">
        <v>150</v>
      </c>
      <c r="L4" s="7" t="s">
        <v>58</v>
      </c>
      <c r="M4" s="5">
        <f>SUMIF(D2:D21,"Electronics",J2:J21)</f>
        <v>3140</v>
      </c>
    </row>
    <row r="5" spans="1:13" x14ac:dyDescent="0.3">
      <c r="A5" s="1">
        <v>104</v>
      </c>
      <c r="B5" s="1" t="s">
        <v>21</v>
      </c>
      <c r="C5" s="1" t="s">
        <v>22</v>
      </c>
      <c r="D5" s="1" t="s">
        <v>23</v>
      </c>
      <c r="E5" s="1">
        <v>1</v>
      </c>
      <c r="F5" s="4">
        <v>500</v>
      </c>
      <c r="G5" s="2">
        <v>45313</v>
      </c>
      <c r="H5" s="1" t="s">
        <v>13</v>
      </c>
      <c r="I5" s="1">
        <v>5</v>
      </c>
      <c r="J5" s="4">
        <v>475</v>
      </c>
      <c r="L5" s="7" t="s">
        <v>59</v>
      </c>
      <c r="M5" s="5">
        <f>SUMIF(D2:D21,"Furniture",J2:J21)</f>
        <v>2800</v>
      </c>
    </row>
    <row r="6" spans="1:13" x14ac:dyDescent="0.3">
      <c r="A6" s="1">
        <v>105</v>
      </c>
      <c r="B6" s="1" t="s">
        <v>24</v>
      </c>
      <c r="C6" s="1" t="s">
        <v>25</v>
      </c>
      <c r="D6" s="1" t="s">
        <v>12</v>
      </c>
      <c r="E6" s="1">
        <v>2</v>
      </c>
      <c r="F6" s="4">
        <v>800</v>
      </c>
      <c r="G6" s="2">
        <v>45316</v>
      </c>
      <c r="H6" s="1" t="s">
        <v>26</v>
      </c>
      <c r="I6" s="1">
        <v>0</v>
      </c>
      <c r="J6" s="4">
        <v>1600</v>
      </c>
      <c r="L6" s="7" t="s">
        <v>60</v>
      </c>
      <c r="M6" s="5">
        <f>SUMIF(D2:D21,"Lighting",J2:J21)</f>
        <v>640</v>
      </c>
    </row>
    <row r="7" spans="1:13" x14ac:dyDescent="0.3">
      <c r="A7" s="1">
        <v>106</v>
      </c>
      <c r="B7" s="1" t="s">
        <v>27</v>
      </c>
      <c r="C7" s="1" t="s">
        <v>28</v>
      </c>
      <c r="D7" s="1" t="s">
        <v>16</v>
      </c>
      <c r="E7" s="1">
        <v>1</v>
      </c>
      <c r="F7" s="4">
        <v>600</v>
      </c>
      <c r="G7" s="2">
        <v>45319</v>
      </c>
      <c r="H7" s="1" t="s">
        <v>17</v>
      </c>
      <c r="I7" s="1">
        <v>7</v>
      </c>
      <c r="J7" s="4">
        <v>558</v>
      </c>
      <c r="L7" s="7" t="s">
        <v>61</v>
      </c>
      <c r="M7" s="5">
        <f>COUNTIF(H2:H21,"Delivered")</f>
        <v>13</v>
      </c>
    </row>
    <row r="8" spans="1:13" x14ac:dyDescent="0.3">
      <c r="A8" s="1">
        <v>107</v>
      </c>
      <c r="B8" s="1" t="s">
        <v>29</v>
      </c>
      <c r="C8" s="1" t="s">
        <v>30</v>
      </c>
      <c r="D8" s="1" t="s">
        <v>23</v>
      </c>
      <c r="E8" s="1">
        <v>2</v>
      </c>
      <c r="F8" s="4">
        <v>450</v>
      </c>
      <c r="G8" s="2">
        <v>45323</v>
      </c>
      <c r="H8" s="1" t="s">
        <v>13</v>
      </c>
      <c r="I8" s="1">
        <v>8</v>
      </c>
      <c r="J8" s="4">
        <v>828</v>
      </c>
      <c r="L8" s="7" t="s">
        <v>62</v>
      </c>
      <c r="M8" s="5">
        <f>COUNTIF(H2:H21,"Pending")</f>
        <v>6</v>
      </c>
    </row>
    <row r="9" spans="1:13" x14ac:dyDescent="0.3">
      <c r="A9" s="1">
        <v>108</v>
      </c>
      <c r="B9" s="1" t="s">
        <v>31</v>
      </c>
      <c r="C9" s="1" t="s">
        <v>32</v>
      </c>
      <c r="D9" s="1" t="s">
        <v>20</v>
      </c>
      <c r="E9" s="1">
        <v>3</v>
      </c>
      <c r="F9" s="4">
        <v>70</v>
      </c>
      <c r="G9" s="2">
        <v>45325</v>
      </c>
      <c r="H9" s="1" t="s">
        <v>13</v>
      </c>
      <c r="I9" s="1">
        <v>0</v>
      </c>
      <c r="J9" s="4">
        <v>210</v>
      </c>
    </row>
    <row r="10" spans="1:13" x14ac:dyDescent="0.3">
      <c r="A10" s="1">
        <v>109</v>
      </c>
      <c r="B10" s="1" t="s">
        <v>33</v>
      </c>
      <c r="C10" s="1" t="s">
        <v>34</v>
      </c>
      <c r="D10" s="1" t="s">
        <v>23</v>
      </c>
      <c r="E10" s="1">
        <v>2</v>
      </c>
      <c r="F10" s="4">
        <v>200</v>
      </c>
      <c r="G10" s="2">
        <v>45327</v>
      </c>
      <c r="H10" s="1" t="s">
        <v>17</v>
      </c>
      <c r="I10" s="1">
        <v>5</v>
      </c>
      <c r="J10" s="4">
        <v>380</v>
      </c>
    </row>
    <row r="11" spans="1:13" x14ac:dyDescent="0.3">
      <c r="A11" s="1">
        <v>110</v>
      </c>
      <c r="B11" s="1" t="s">
        <v>35</v>
      </c>
      <c r="C11" s="1" t="s">
        <v>36</v>
      </c>
      <c r="D11" s="1" t="s">
        <v>16</v>
      </c>
      <c r="E11" s="1">
        <v>2</v>
      </c>
      <c r="F11" s="4">
        <v>100</v>
      </c>
      <c r="G11" s="2">
        <v>45330</v>
      </c>
      <c r="H11" s="1" t="s">
        <v>13</v>
      </c>
      <c r="I11" s="1">
        <v>10</v>
      </c>
      <c r="J11" s="4">
        <v>180</v>
      </c>
    </row>
    <row r="12" spans="1:13" x14ac:dyDescent="0.3">
      <c r="A12" s="1">
        <v>111</v>
      </c>
      <c r="B12" s="1" t="s">
        <v>37</v>
      </c>
      <c r="C12" s="1" t="s">
        <v>38</v>
      </c>
      <c r="D12" s="1" t="s">
        <v>12</v>
      </c>
      <c r="E12" s="1">
        <v>1</v>
      </c>
      <c r="F12" s="4">
        <v>250</v>
      </c>
      <c r="G12" s="2">
        <v>45333</v>
      </c>
      <c r="H12" s="1" t="s">
        <v>13</v>
      </c>
      <c r="I12" s="1">
        <v>0</v>
      </c>
      <c r="J12" s="4">
        <v>250</v>
      </c>
    </row>
    <row r="13" spans="1:13" x14ac:dyDescent="0.3">
      <c r="A13" s="1">
        <v>112</v>
      </c>
      <c r="B13" s="1" t="s">
        <v>39</v>
      </c>
      <c r="C13" s="1" t="s">
        <v>19</v>
      </c>
      <c r="D13" s="1" t="s">
        <v>20</v>
      </c>
      <c r="E13" s="1">
        <v>4</v>
      </c>
      <c r="F13" s="4">
        <v>30</v>
      </c>
      <c r="G13" s="2">
        <v>45335</v>
      </c>
      <c r="H13" s="1" t="s">
        <v>17</v>
      </c>
      <c r="I13" s="1">
        <v>0</v>
      </c>
      <c r="J13" s="4">
        <v>120</v>
      </c>
    </row>
    <row r="14" spans="1:13" x14ac:dyDescent="0.3">
      <c r="A14" s="1">
        <v>113</v>
      </c>
      <c r="B14" s="1" t="s">
        <v>40</v>
      </c>
      <c r="C14" s="1" t="s">
        <v>41</v>
      </c>
      <c r="D14" s="1" t="s">
        <v>16</v>
      </c>
      <c r="E14" s="1">
        <v>1</v>
      </c>
      <c r="F14" s="4">
        <v>220</v>
      </c>
      <c r="G14" s="2">
        <v>45337</v>
      </c>
      <c r="H14" s="1" t="s">
        <v>13</v>
      </c>
      <c r="I14" s="1">
        <v>5</v>
      </c>
      <c r="J14" s="4">
        <v>209</v>
      </c>
    </row>
    <row r="15" spans="1:13" x14ac:dyDescent="0.3">
      <c r="A15" s="1">
        <v>114</v>
      </c>
      <c r="B15" s="1" t="s">
        <v>42</v>
      </c>
      <c r="C15" s="1" t="s">
        <v>43</v>
      </c>
      <c r="D15" s="1" t="s">
        <v>23</v>
      </c>
      <c r="E15" s="1">
        <v>3</v>
      </c>
      <c r="F15" s="4">
        <v>40</v>
      </c>
      <c r="G15" s="2">
        <v>45340</v>
      </c>
      <c r="H15" s="1" t="s">
        <v>13</v>
      </c>
      <c r="I15" s="1">
        <v>5</v>
      </c>
      <c r="J15" s="4">
        <v>114</v>
      </c>
    </row>
    <row r="16" spans="1:13" x14ac:dyDescent="0.3">
      <c r="A16" s="1">
        <v>115</v>
      </c>
      <c r="B16" s="1" t="s">
        <v>44</v>
      </c>
      <c r="C16" s="1" t="s">
        <v>45</v>
      </c>
      <c r="D16" s="1" t="s">
        <v>12</v>
      </c>
      <c r="E16" s="1">
        <v>1</v>
      </c>
      <c r="F16" s="4">
        <v>150</v>
      </c>
      <c r="G16" s="2">
        <v>45342</v>
      </c>
      <c r="H16" s="1" t="s">
        <v>13</v>
      </c>
      <c r="I16" s="1">
        <v>0</v>
      </c>
      <c r="J16" s="4">
        <v>150</v>
      </c>
    </row>
    <row r="17" spans="1:10" x14ac:dyDescent="0.3">
      <c r="A17" s="1">
        <v>116</v>
      </c>
      <c r="B17" s="1" t="s">
        <v>46</v>
      </c>
      <c r="C17" s="1" t="s">
        <v>47</v>
      </c>
      <c r="D17" s="1" t="s">
        <v>23</v>
      </c>
      <c r="E17" s="1">
        <v>1</v>
      </c>
      <c r="F17" s="4">
        <v>300</v>
      </c>
      <c r="G17" s="2">
        <v>45345</v>
      </c>
      <c r="H17" s="1" t="s">
        <v>17</v>
      </c>
      <c r="I17" s="1">
        <v>10</v>
      </c>
      <c r="J17" s="4">
        <v>270</v>
      </c>
    </row>
    <row r="18" spans="1:10" x14ac:dyDescent="0.3">
      <c r="A18" s="1">
        <v>117</v>
      </c>
      <c r="B18" s="1" t="s">
        <v>48</v>
      </c>
      <c r="C18" s="1" t="s">
        <v>49</v>
      </c>
      <c r="D18" s="1" t="s">
        <v>16</v>
      </c>
      <c r="E18" s="1">
        <v>1</v>
      </c>
      <c r="F18" s="4">
        <v>1200</v>
      </c>
      <c r="G18" s="2">
        <v>45347</v>
      </c>
      <c r="H18" s="1" t="s">
        <v>13</v>
      </c>
      <c r="I18" s="1">
        <v>7</v>
      </c>
      <c r="J18" s="4">
        <v>1116</v>
      </c>
    </row>
    <row r="19" spans="1:10" x14ac:dyDescent="0.3">
      <c r="A19" s="1">
        <v>118</v>
      </c>
      <c r="B19" s="1" t="s">
        <v>50</v>
      </c>
      <c r="C19" s="1" t="s">
        <v>51</v>
      </c>
      <c r="D19" s="1" t="s">
        <v>16</v>
      </c>
      <c r="E19" s="1">
        <v>1</v>
      </c>
      <c r="F19" s="4">
        <v>350</v>
      </c>
      <c r="G19" s="2">
        <v>45350</v>
      </c>
      <c r="H19" s="1" t="s">
        <v>13</v>
      </c>
      <c r="I19" s="1">
        <v>5</v>
      </c>
      <c r="J19" s="4">
        <v>332</v>
      </c>
    </row>
    <row r="20" spans="1:10" x14ac:dyDescent="0.3">
      <c r="A20" s="1">
        <v>119</v>
      </c>
      <c r="B20" s="1" t="s">
        <v>52</v>
      </c>
      <c r="C20" s="1" t="s">
        <v>53</v>
      </c>
      <c r="D20" s="1" t="s">
        <v>20</v>
      </c>
      <c r="E20" s="1">
        <v>2</v>
      </c>
      <c r="F20" s="4">
        <v>80</v>
      </c>
      <c r="G20" s="2">
        <v>45353</v>
      </c>
      <c r="H20" s="1" t="s">
        <v>13</v>
      </c>
      <c r="I20" s="1">
        <v>0</v>
      </c>
      <c r="J20" s="4">
        <v>160</v>
      </c>
    </row>
    <row r="21" spans="1:10" x14ac:dyDescent="0.3">
      <c r="A21" s="1">
        <v>120</v>
      </c>
      <c r="B21" s="1" t="s">
        <v>54</v>
      </c>
      <c r="C21" s="1" t="s">
        <v>55</v>
      </c>
      <c r="D21" s="1" t="s">
        <v>23</v>
      </c>
      <c r="E21" s="1">
        <v>1</v>
      </c>
      <c r="F21" s="4">
        <v>700</v>
      </c>
      <c r="G21" s="2">
        <v>45356</v>
      </c>
      <c r="H21" s="1" t="s">
        <v>17</v>
      </c>
      <c r="I21" s="1">
        <v>5</v>
      </c>
      <c r="J21" s="4">
        <v>665</v>
      </c>
    </row>
  </sheetData>
  <conditionalFormatting sqref="H2:H21">
    <cfRule type="cellIs" dxfId="4" priority="2" operator="equal">
      <formula>"Delivered"</formula>
    </cfRule>
    <cfRule type="cellIs" dxfId="5" priority="1" operator="equal">
      <formula>"Pending"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A23-3014-46E8-82D0-F54A56BF9BC7}">
  <dimension ref="A1:M21"/>
  <sheetViews>
    <sheetView workbookViewId="0">
      <selection activeCell="N9" sqref="N9"/>
    </sheetView>
  </sheetViews>
  <sheetFormatPr defaultRowHeight="14.4" x14ac:dyDescent="0.3"/>
  <cols>
    <col min="1" max="1" width="8" bestFit="1" customWidth="1"/>
    <col min="2" max="2" width="15.5546875" bestFit="1" customWidth="1"/>
    <col min="3" max="3" width="15.44140625" bestFit="1" customWidth="1"/>
    <col min="4" max="4" width="9.88671875" bestFit="1" customWidth="1"/>
    <col min="6" max="6" width="12.33203125" bestFit="1" customWidth="1"/>
    <col min="7" max="7" width="10.109375" bestFit="1" customWidth="1"/>
    <col min="8" max="8" width="13.5546875" bestFit="1" customWidth="1"/>
    <col min="9" max="9" width="11.5546875" bestFit="1" customWidth="1"/>
    <col min="10" max="10" width="12.5546875" bestFit="1" customWidth="1"/>
    <col min="12" max="12" width="14.6640625" bestFit="1" customWidth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3" x14ac:dyDescent="0.3">
      <c r="A2" s="1">
        <v>101</v>
      </c>
      <c r="B2" s="1" t="s">
        <v>10</v>
      </c>
      <c r="C2" s="1" t="s">
        <v>11</v>
      </c>
      <c r="D2" s="1" t="s">
        <v>12</v>
      </c>
      <c r="E2" s="1">
        <v>1</v>
      </c>
      <c r="F2" s="4">
        <v>1200</v>
      </c>
      <c r="G2" s="2">
        <v>45306</v>
      </c>
      <c r="H2" s="1" t="s">
        <v>13</v>
      </c>
      <c r="I2" s="1">
        <v>5</v>
      </c>
      <c r="J2" s="4">
        <v>1140</v>
      </c>
      <c r="L2" s="7" t="s">
        <v>56</v>
      </c>
      <c r="M2" s="6">
        <f>SUM(J2:J21)</f>
        <v>9312</v>
      </c>
    </row>
    <row r="3" spans="1:13" x14ac:dyDescent="0.3">
      <c r="A3" s="1">
        <v>102</v>
      </c>
      <c r="B3" s="1" t="s">
        <v>14</v>
      </c>
      <c r="C3" s="1" t="s">
        <v>15</v>
      </c>
      <c r="D3" s="1" t="s">
        <v>16</v>
      </c>
      <c r="E3" s="1">
        <v>3</v>
      </c>
      <c r="F3" s="4">
        <v>150</v>
      </c>
      <c r="G3" s="2">
        <v>45308</v>
      </c>
      <c r="H3" s="1" t="s">
        <v>17</v>
      </c>
      <c r="I3" s="1">
        <v>10</v>
      </c>
      <c r="J3" s="4">
        <v>405</v>
      </c>
      <c r="L3" s="7" t="s">
        <v>57</v>
      </c>
      <c r="M3" s="5">
        <f>SUMIF(D2:D21,"Appliances",J2:J21)</f>
        <v>2732</v>
      </c>
    </row>
    <row r="4" spans="1:13" x14ac:dyDescent="0.3">
      <c r="A4" s="1">
        <v>103</v>
      </c>
      <c r="B4" s="1" t="s">
        <v>18</v>
      </c>
      <c r="C4" s="1" t="s">
        <v>19</v>
      </c>
      <c r="D4" s="1" t="s">
        <v>20</v>
      </c>
      <c r="E4" s="1">
        <v>5</v>
      </c>
      <c r="F4" s="4">
        <v>30</v>
      </c>
      <c r="G4" s="2">
        <v>45310</v>
      </c>
      <c r="H4" s="1" t="s">
        <v>13</v>
      </c>
      <c r="I4" s="1">
        <v>0</v>
      </c>
      <c r="J4" s="4">
        <v>150</v>
      </c>
      <c r="L4" s="7" t="s">
        <v>58</v>
      </c>
      <c r="M4" s="5">
        <f>SUMIF(D2:D21,"Electronics",J2:J21)</f>
        <v>3140</v>
      </c>
    </row>
    <row r="5" spans="1:13" x14ac:dyDescent="0.3">
      <c r="A5" s="1">
        <v>104</v>
      </c>
      <c r="B5" s="1" t="s">
        <v>21</v>
      </c>
      <c r="C5" s="1" t="s">
        <v>22</v>
      </c>
      <c r="D5" s="1" t="s">
        <v>23</v>
      </c>
      <c r="E5" s="1">
        <v>1</v>
      </c>
      <c r="F5" s="4">
        <v>500</v>
      </c>
      <c r="G5" s="2">
        <v>45313</v>
      </c>
      <c r="H5" s="1" t="s">
        <v>13</v>
      </c>
      <c r="I5" s="1">
        <v>5</v>
      </c>
      <c r="J5" s="4">
        <v>475</v>
      </c>
      <c r="L5" s="7" t="s">
        <v>59</v>
      </c>
      <c r="M5" s="5">
        <f>SUMIF(D2:D21,"Furniture",J2:J21)</f>
        <v>2800</v>
      </c>
    </row>
    <row r="6" spans="1:13" x14ac:dyDescent="0.3">
      <c r="A6" s="1">
        <v>105</v>
      </c>
      <c r="B6" s="1" t="s">
        <v>24</v>
      </c>
      <c r="C6" s="1" t="s">
        <v>25</v>
      </c>
      <c r="D6" s="1" t="s">
        <v>12</v>
      </c>
      <c r="E6" s="1">
        <v>2</v>
      </c>
      <c r="F6" s="4">
        <v>800</v>
      </c>
      <c r="G6" s="2">
        <v>45316</v>
      </c>
      <c r="H6" s="1" t="s">
        <v>26</v>
      </c>
      <c r="I6" s="1">
        <v>0</v>
      </c>
      <c r="J6" s="4">
        <v>1600</v>
      </c>
      <c r="L6" s="7" t="s">
        <v>60</v>
      </c>
      <c r="M6" s="5">
        <f>SUMIF(D2:D21,"Lighting",J2:J21)</f>
        <v>640</v>
      </c>
    </row>
    <row r="7" spans="1:13" x14ac:dyDescent="0.3">
      <c r="A7" s="1">
        <v>106</v>
      </c>
      <c r="B7" s="1" t="s">
        <v>27</v>
      </c>
      <c r="C7" s="1" t="s">
        <v>28</v>
      </c>
      <c r="D7" s="1" t="s">
        <v>16</v>
      </c>
      <c r="E7" s="1">
        <v>1</v>
      </c>
      <c r="F7" s="4">
        <v>600</v>
      </c>
      <c r="G7" s="2">
        <v>45319</v>
      </c>
      <c r="H7" s="1" t="s">
        <v>17</v>
      </c>
      <c r="I7" s="1">
        <v>7</v>
      </c>
      <c r="J7" s="4">
        <v>558</v>
      </c>
      <c r="L7" s="7" t="s">
        <v>61</v>
      </c>
      <c r="M7" s="5">
        <f>COUNTIF(H2:H21,"Delivered")</f>
        <v>13</v>
      </c>
    </row>
    <row r="8" spans="1:13" x14ac:dyDescent="0.3">
      <c r="A8" s="1">
        <v>107</v>
      </c>
      <c r="B8" s="1" t="s">
        <v>29</v>
      </c>
      <c r="C8" s="1" t="s">
        <v>30</v>
      </c>
      <c r="D8" s="1" t="s">
        <v>23</v>
      </c>
      <c r="E8" s="1">
        <v>2</v>
      </c>
      <c r="F8" s="4">
        <v>450</v>
      </c>
      <c r="G8" s="2">
        <v>45323</v>
      </c>
      <c r="H8" s="1" t="s">
        <v>13</v>
      </c>
      <c r="I8" s="1">
        <v>8</v>
      </c>
      <c r="J8" s="4">
        <v>828</v>
      </c>
      <c r="L8" s="7" t="s">
        <v>62</v>
      </c>
      <c r="M8" s="5">
        <f>COUNTIF(H2:H21,"Pending")</f>
        <v>6</v>
      </c>
    </row>
    <row r="9" spans="1:13" x14ac:dyDescent="0.3">
      <c r="A9" s="1">
        <v>108</v>
      </c>
      <c r="B9" s="1" t="s">
        <v>31</v>
      </c>
      <c r="C9" s="1" t="s">
        <v>32</v>
      </c>
      <c r="D9" s="1" t="s">
        <v>20</v>
      </c>
      <c r="E9" s="1">
        <v>3</v>
      </c>
      <c r="F9" s="4">
        <v>70</v>
      </c>
      <c r="G9" s="2">
        <v>45325</v>
      </c>
      <c r="H9" s="1" t="s">
        <v>13</v>
      </c>
      <c r="I9" s="1">
        <v>0</v>
      </c>
      <c r="J9" s="4">
        <v>210</v>
      </c>
    </row>
    <row r="10" spans="1:13" x14ac:dyDescent="0.3">
      <c r="A10" s="1">
        <v>109</v>
      </c>
      <c r="B10" s="1" t="s">
        <v>33</v>
      </c>
      <c r="C10" s="1" t="s">
        <v>34</v>
      </c>
      <c r="D10" s="1" t="s">
        <v>23</v>
      </c>
      <c r="E10" s="1">
        <v>2</v>
      </c>
      <c r="F10" s="4">
        <v>200</v>
      </c>
      <c r="G10" s="2">
        <v>45327</v>
      </c>
      <c r="H10" s="1" t="s">
        <v>17</v>
      </c>
      <c r="I10" s="1">
        <v>5</v>
      </c>
      <c r="J10" s="4">
        <v>380</v>
      </c>
    </row>
    <row r="11" spans="1:13" x14ac:dyDescent="0.3">
      <c r="A11" s="1">
        <v>110</v>
      </c>
      <c r="B11" s="1" t="s">
        <v>35</v>
      </c>
      <c r="C11" s="1" t="s">
        <v>36</v>
      </c>
      <c r="D11" s="1" t="s">
        <v>16</v>
      </c>
      <c r="E11" s="1">
        <v>2</v>
      </c>
      <c r="F11" s="4">
        <v>100</v>
      </c>
      <c r="G11" s="2">
        <v>45330</v>
      </c>
      <c r="H11" s="1" t="s">
        <v>13</v>
      </c>
      <c r="I11" s="1">
        <v>10</v>
      </c>
      <c r="J11" s="4">
        <v>180</v>
      </c>
    </row>
    <row r="12" spans="1:13" x14ac:dyDescent="0.3">
      <c r="A12" s="1">
        <v>111</v>
      </c>
      <c r="B12" s="1" t="s">
        <v>37</v>
      </c>
      <c r="C12" s="1" t="s">
        <v>38</v>
      </c>
      <c r="D12" s="1" t="s">
        <v>12</v>
      </c>
      <c r="E12" s="1">
        <v>1</v>
      </c>
      <c r="F12" s="4">
        <v>250</v>
      </c>
      <c r="G12" s="2">
        <v>45333</v>
      </c>
      <c r="H12" s="1" t="s">
        <v>13</v>
      </c>
      <c r="I12" s="1">
        <v>0</v>
      </c>
      <c r="J12" s="4">
        <v>250</v>
      </c>
    </row>
    <row r="13" spans="1:13" x14ac:dyDescent="0.3">
      <c r="A13" s="1">
        <v>112</v>
      </c>
      <c r="B13" s="1" t="s">
        <v>39</v>
      </c>
      <c r="C13" s="1" t="s">
        <v>19</v>
      </c>
      <c r="D13" s="1" t="s">
        <v>20</v>
      </c>
      <c r="E13" s="1">
        <v>4</v>
      </c>
      <c r="F13" s="4">
        <v>30</v>
      </c>
      <c r="G13" s="2">
        <v>45335</v>
      </c>
      <c r="H13" s="1" t="s">
        <v>17</v>
      </c>
      <c r="I13" s="1">
        <v>0</v>
      </c>
      <c r="J13" s="4">
        <v>120</v>
      </c>
    </row>
    <row r="14" spans="1:13" x14ac:dyDescent="0.3">
      <c r="A14" s="1">
        <v>113</v>
      </c>
      <c r="B14" s="1" t="s">
        <v>40</v>
      </c>
      <c r="C14" s="1" t="s">
        <v>41</v>
      </c>
      <c r="D14" s="1" t="s">
        <v>16</v>
      </c>
      <c r="E14" s="1">
        <v>1</v>
      </c>
      <c r="F14" s="4">
        <v>220</v>
      </c>
      <c r="G14" s="2">
        <v>45337</v>
      </c>
      <c r="H14" s="1" t="s">
        <v>13</v>
      </c>
      <c r="I14" s="1">
        <v>5</v>
      </c>
      <c r="J14" s="4">
        <v>209</v>
      </c>
    </row>
    <row r="15" spans="1:13" x14ac:dyDescent="0.3">
      <c r="A15" s="1">
        <v>114</v>
      </c>
      <c r="B15" s="1" t="s">
        <v>42</v>
      </c>
      <c r="C15" s="1" t="s">
        <v>43</v>
      </c>
      <c r="D15" s="1" t="s">
        <v>23</v>
      </c>
      <c r="E15" s="1">
        <v>3</v>
      </c>
      <c r="F15" s="4">
        <v>40</v>
      </c>
      <c r="G15" s="2">
        <v>45340</v>
      </c>
      <c r="H15" s="1" t="s">
        <v>13</v>
      </c>
      <c r="I15" s="1">
        <v>5</v>
      </c>
      <c r="J15" s="4">
        <v>114</v>
      </c>
    </row>
    <row r="16" spans="1:13" x14ac:dyDescent="0.3">
      <c r="A16" s="1">
        <v>115</v>
      </c>
      <c r="B16" s="1" t="s">
        <v>44</v>
      </c>
      <c r="C16" s="1" t="s">
        <v>45</v>
      </c>
      <c r="D16" s="1" t="s">
        <v>12</v>
      </c>
      <c r="E16" s="1">
        <v>1</v>
      </c>
      <c r="F16" s="4">
        <v>150</v>
      </c>
      <c r="G16" s="2">
        <v>45342</v>
      </c>
      <c r="H16" s="1" t="s">
        <v>13</v>
      </c>
      <c r="I16" s="1">
        <v>0</v>
      </c>
      <c r="J16" s="4">
        <v>150</v>
      </c>
    </row>
    <row r="17" spans="1:10" x14ac:dyDescent="0.3">
      <c r="A17" s="1">
        <v>116</v>
      </c>
      <c r="B17" s="1" t="s">
        <v>46</v>
      </c>
      <c r="C17" s="1" t="s">
        <v>47</v>
      </c>
      <c r="D17" s="1" t="s">
        <v>23</v>
      </c>
      <c r="E17" s="1">
        <v>1</v>
      </c>
      <c r="F17" s="4">
        <v>300</v>
      </c>
      <c r="G17" s="2">
        <v>45345</v>
      </c>
      <c r="H17" s="1" t="s">
        <v>17</v>
      </c>
      <c r="I17" s="1">
        <v>10</v>
      </c>
      <c r="J17" s="4">
        <v>270</v>
      </c>
    </row>
    <row r="18" spans="1:10" x14ac:dyDescent="0.3">
      <c r="A18" s="1">
        <v>117</v>
      </c>
      <c r="B18" s="1" t="s">
        <v>48</v>
      </c>
      <c r="C18" s="1" t="s">
        <v>49</v>
      </c>
      <c r="D18" s="1" t="s">
        <v>16</v>
      </c>
      <c r="E18" s="1">
        <v>1</v>
      </c>
      <c r="F18" s="4">
        <v>1200</v>
      </c>
      <c r="G18" s="2">
        <v>45347</v>
      </c>
      <c r="H18" s="1" t="s">
        <v>13</v>
      </c>
      <c r="I18" s="1">
        <v>7</v>
      </c>
      <c r="J18" s="4">
        <v>1116</v>
      </c>
    </row>
    <row r="19" spans="1:10" x14ac:dyDescent="0.3">
      <c r="A19" s="1">
        <v>118</v>
      </c>
      <c r="B19" s="1" t="s">
        <v>50</v>
      </c>
      <c r="C19" s="1" t="s">
        <v>51</v>
      </c>
      <c r="D19" s="1" t="s">
        <v>16</v>
      </c>
      <c r="E19" s="1">
        <v>1</v>
      </c>
      <c r="F19" s="4">
        <v>350</v>
      </c>
      <c r="G19" s="2">
        <v>45350</v>
      </c>
      <c r="H19" s="1" t="s">
        <v>13</v>
      </c>
      <c r="I19" s="1">
        <v>5</v>
      </c>
      <c r="J19" s="4">
        <v>332</v>
      </c>
    </row>
    <row r="20" spans="1:10" x14ac:dyDescent="0.3">
      <c r="A20" s="1">
        <v>119</v>
      </c>
      <c r="B20" s="1" t="s">
        <v>52</v>
      </c>
      <c r="C20" s="1" t="s">
        <v>53</v>
      </c>
      <c r="D20" s="1" t="s">
        <v>20</v>
      </c>
      <c r="E20" s="1">
        <v>2</v>
      </c>
      <c r="F20" s="4">
        <v>80</v>
      </c>
      <c r="G20" s="2">
        <v>45353</v>
      </c>
      <c r="H20" s="1" t="s">
        <v>13</v>
      </c>
      <c r="I20" s="1">
        <v>0</v>
      </c>
      <c r="J20" s="4">
        <v>160</v>
      </c>
    </row>
    <row r="21" spans="1:10" x14ac:dyDescent="0.3">
      <c r="A21" s="1">
        <v>120</v>
      </c>
      <c r="B21" s="1" t="s">
        <v>54</v>
      </c>
      <c r="C21" s="1" t="s">
        <v>55</v>
      </c>
      <c r="D21" s="1" t="s">
        <v>23</v>
      </c>
      <c r="E21" s="1">
        <v>1</v>
      </c>
      <c r="F21" s="4">
        <v>700</v>
      </c>
      <c r="G21" s="2">
        <v>45356</v>
      </c>
      <c r="H21" s="1" t="s">
        <v>17</v>
      </c>
      <c r="I21" s="1">
        <v>5</v>
      </c>
      <c r="J21" s="4">
        <v>665</v>
      </c>
    </row>
  </sheetData>
  <conditionalFormatting sqref="H2:H21">
    <cfRule type="cellIs" dxfId="3" priority="2" operator="equal">
      <formula>"Delivered"</formula>
    </cfRule>
    <cfRule type="cellIs" dxfId="2" priority="1" operator="equal">
      <formula>"Pending"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DFF83-BA6B-41DF-B52B-B81EF6100A2F}">
  <dimension ref="A1:M21"/>
  <sheetViews>
    <sheetView workbookViewId="0">
      <selection activeCell="L3" sqref="L3"/>
    </sheetView>
  </sheetViews>
  <sheetFormatPr defaultRowHeight="14.4" x14ac:dyDescent="0.3"/>
  <cols>
    <col min="1" max="1" width="8" bestFit="1" customWidth="1"/>
    <col min="2" max="2" width="15.5546875" bestFit="1" customWidth="1"/>
    <col min="3" max="3" width="15.44140625" bestFit="1" customWidth="1"/>
    <col min="4" max="4" width="9.88671875" bestFit="1" customWidth="1"/>
    <col min="6" max="6" width="12.33203125" bestFit="1" customWidth="1"/>
    <col min="7" max="7" width="10.109375" bestFit="1" customWidth="1"/>
    <col min="8" max="8" width="13.5546875" bestFit="1" customWidth="1"/>
    <col min="9" max="9" width="11.5546875" bestFit="1" customWidth="1"/>
    <col min="10" max="10" width="12.5546875" bestFit="1" customWidth="1"/>
    <col min="12" max="12" width="14.6640625" bestFit="1" customWidth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3" x14ac:dyDescent="0.3">
      <c r="A2" s="1">
        <v>101</v>
      </c>
      <c r="B2" s="1" t="s">
        <v>10</v>
      </c>
      <c r="C2" s="1" t="s">
        <v>11</v>
      </c>
      <c r="D2" s="1" t="s">
        <v>12</v>
      </c>
      <c r="E2" s="1">
        <v>1</v>
      </c>
      <c r="F2" s="4">
        <v>1200</v>
      </c>
      <c r="G2" s="2">
        <v>45306</v>
      </c>
      <c r="H2" s="1" t="s">
        <v>13</v>
      </c>
      <c r="I2" s="1">
        <v>5</v>
      </c>
      <c r="J2" s="4">
        <v>1140</v>
      </c>
      <c r="L2" s="7" t="s">
        <v>56</v>
      </c>
      <c r="M2" s="6">
        <f>SUM(J2:J21)</f>
        <v>9312</v>
      </c>
    </row>
    <row r="3" spans="1:13" x14ac:dyDescent="0.3">
      <c r="A3" s="1">
        <v>102</v>
      </c>
      <c r="B3" s="1" t="s">
        <v>14</v>
      </c>
      <c r="C3" s="1" t="s">
        <v>15</v>
      </c>
      <c r="D3" s="1" t="s">
        <v>16</v>
      </c>
      <c r="E3" s="1">
        <v>3</v>
      </c>
      <c r="F3" s="4">
        <v>150</v>
      </c>
      <c r="G3" s="2">
        <v>45308</v>
      </c>
      <c r="H3" s="1" t="s">
        <v>17</v>
      </c>
      <c r="I3" s="1">
        <v>10</v>
      </c>
      <c r="J3" s="4">
        <v>405</v>
      </c>
      <c r="L3" s="7" t="s">
        <v>57</v>
      </c>
      <c r="M3" s="5">
        <f>SUMIF(D2:D21,"Appliances",J2:J21)</f>
        <v>2732</v>
      </c>
    </row>
    <row r="4" spans="1:13" x14ac:dyDescent="0.3">
      <c r="A4" s="1">
        <v>103</v>
      </c>
      <c r="B4" s="1" t="s">
        <v>18</v>
      </c>
      <c r="C4" s="1" t="s">
        <v>19</v>
      </c>
      <c r="D4" s="1" t="s">
        <v>20</v>
      </c>
      <c r="E4" s="1">
        <v>5</v>
      </c>
      <c r="F4" s="4">
        <v>30</v>
      </c>
      <c r="G4" s="2">
        <v>45310</v>
      </c>
      <c r="H4" s="1" t="s">
        <v>13</v>
      </c>
      <c r="I4" s="1">
        <v>0</v>
      </c>
      <c r="J4" s="4">
        <v>150</v>
      </c>
      <c r="L4" s="7" t="s">
        <v>58</v>
      </c>
      <c r="M4" s="5">
        <f>SUMIF(D2:D21,"Electronics",J2:J21)</f>
        <v>3140</v>
      </c>
    </row>
    <row r="5" spans="1:13" x14ac:dyDescent="0.3">
      <c r="A5" s="1">
        <v>104</v>
      </c>
      <c r="B5" s="1" t="s">
        <v>21</v>
      </c>
      <c r="C5" s="1" t="s">
        <v>22</v>
      </c>
      <c r="D5" s="1" t="s">
        <v>23</v>
      </c>
      <c r="E5" s="1">
        <v>1</v>
      </c>
      <c r="F5" s="4">
        <v>500</v>
      </c>
      <c r="G5" s="2">
        <v>45313</v>
      </c>
      <c r="H5" s="1" t="s">
        <v>13</v>
      </c>
      <c r="I5" s="1">
        <v>5</v>
      </c>
      <c r="J5" s="4">
        <v>475</v>
      </c>
      <c r="L5" s="7" t="s">
        <v>59</v>
      </c>
      <c r="M5" s="5">
        <f>SUMIF(D2:D21,"Furniture",J2:J21)</f>
        <v>2800</v>
      </c>
    </row>
    <row r="6" spans="1:13" x14ac:dyDescent="0.3">
      <c r="A6" s="1">
        <v>105</v>
      </c>
      <c r="B6" s="1" t="s">
        <v>24</v>
      </c>
      <c r="C6" s="1" t="s">
        <v>25</v>
      </c>
      <c r="D6" s="1" t="s">
        <v>12</v>
      </c>
      <c r="E6" s="1">
        <v>2</v>
      </c>
      <c r="F6" s="4">
        <v>800</v>
      </c>
      <c r="G6" s="2">
        <v>45316</v>
      </c>
      <c r="H6" s="1" t="s">
        <v>26</v>
      </c>
      <c r="I6" s="1">
        <v>0</v>
      </c>
      <c r="J6" s="4">
        <v>1600</v>
      </c>
      <c r="L6" s="7" t="s">
        <v>60</v>
      </c>
      <c r="M6" s="5">
        <f>SUMIF(D2:D21,"Lighting",J2:J21)</f>
        <v>640</v>
      </c>
    </row>
    <row r="7" spans="1:13" x14ac:dyDescent="0.3">
      <c r="A7" s="1">
        <v>106</v>
      </c>
      <c r="B7" s="1" t="s">
        <v>27</v>
      </c>
      <c r="C7" s="1" t="s">
        <v>28</v>
      </c>
      <c r="D7" s="1" t="s">
        <v>16</v>
      </c>
      <c r="E7" s="1">
        <v>1</v>
      </c>
      <c r="F7" s="4">
        <v>600</v>
      </c>
      <c r="G7" s="2">
        <v>45319</v>
      </c>
      <c r="H7" s="1" t="s">
        <v>17</v>
      </c>
      <c r="I7" s="1">
        <v>7</v>
      </c>
      <c r="J7" s="4">
        <v>558</v>
      </c>
      <c r="L7" s="7" t="s">
        <v>61</v>
      </c>
      <c r="M7" s="5">
        <f>COUNTIF(H2:H21,"Delivered")</f>
        <v>13</v>
      </c>
    </row>
    <row r="8" spans="1:13" x14ac:dyDescent="0.3">
      <c r="A8" s="1">
        <v>107</v>
      </c>
      <c r="B8" s="1" t="s">
        <v>29</v>
      </c>
      <c r="C8" s="1" t="s">
        <v>30</v>
      </c>
      <c r="D8" s="1" t="s">
        <v>23</v>
      </c>
      <c r="E8" s="1">
        <v>2</v>
      </c>
      <c r="F8" s="4">
        <v>450</v>
      </c>
      <c r="G8" s="2">
        <v>45323</v>
      </c>
      <c r="H8" s="1" t="s">
        <v>13</v>
      </c>
      <c r="I8" s="1">
        <v>8</v>
      </c>
      <c r="J8" s="4">
        <v>828</v>
      </c>
      <c r="L8" s="7" t="s">
        <v>62</v>
      </c>
      <c r="M8" s="5">
        <f>COUNTIF(H2:H21,"Pending")</f>
        <v>6</v>
      </c>
    </row>
    <row r="9" spans="1:13" x14ac:dyDescent="0.3">
      <c r="A9" s="1">
        <v>108</v>
      </c>
      <c r="B9" s="1" t="s">
        <v>31</v>
      </c>
      <c r="C9" s="1" t="s">
        <v>32</v>
      </c>
      <c r="D9" s="1" t="s">
        <v>20</v>
      </c>
      <c r="E9" s="1">
        <v>3</v>
      </c>
      <c r="F9" s="4">
        <v>70</v>
      </c>
      <c r="G9" s="2">
        <v>45325</v>
      </c>
      <c r="H9" s="1" t="s">
        <v>13</v>
      </c>
      <c r="I9" s="1">
        <v>0</v>
      </c>
      <c r="J9" s="4">
        <v>210</v>
      </c>
    </row>
    <row r="10" spans="1:13" x14ac:dyDescent="0.3">
      <c r="A10" s="1">
        <v>109</v>
      </c>
      <c r="B10" s="1" t="s">
        <v>33</v>
      </c>
      <c r="C10" s="1" t="s">
        <v>34</v>
      </c>
      <c r="D10" s="1" t="s">
        <v>23</v>
      </c>
      <c r="E10" s="1">
        <v>2</v>
      </c>
      <c r="F10" s="4">
        <v>200</v>
      </c>
      <c r="G10" s="2">
        <v>45327</v>
      </c>
      <c r="H10" s="1" t="s">
        <v>17</v>
      </c>
      <c r="I10" s="1">
        <v>5</v>
      </c>
      <c r="J10" s="4">
        <v>380</v>
      </c>
    </row>
    <row r="11" spans="1:13" x14ac:dyDescent="0.3">
      <c r="A11" s="1">
        <v>110</v>
      </c>
      <c r="B11" s="1" t="s">
        <v>35</v>
      </c>
      <c r="C11" s="1" t="s">
        <v>36</v>
      </c>
      <c r="D11" s="1" t="s">
        <v>16</v>
      </c>
      <c r="E11" s="1">
        <v>2</v>
      </c>
      <c r="F11" s="4">
        <v>100</v>
      </c>
      <c r="G11" s="2">
        <v>45330</v>
      </c>
      <c r="H11" s="1" t="s">
        <v>13</v>
      </c>
      <c r="I11" s="1">
        <v>10</v>
      </c>
      <c r="J11" s="4">
        <v>180</v>
      </c>
    </row>
    <row r="12" spans="1:13" x14ac:dyDescent="0.3">
      <c r="A12" s="1">
        <v>111</v>
      </c>
      <c r="B12" s="1" t="s">
        <v>37</v>
      </c>
      <c r="C12" s="1" t="s">
        <v>38</v>
      </c>
      <c r="D12" s="1" t="s">
        <v>12</v>
      </c>
      <c r="E12" s="1">
        <v>1</v>
      </c>
      <c r="F12" s="4">
        <v>250</v>
      </c>
      <c r="G12" s="2">
        <v>45333</v>
      </c>
      <c r="H12" s="1" t="s">
        <v>13</v>
      </c>
      <c r="I12" s="1">
        <v>0</v>
      </c>
      <c r="J12" s="4">
        <v>250</v>
      </c>
    </row>
    <row r="13" spans="1:13" x14ac:dyDescent="0.3">
      <c r="A13" s="1">
        <v>112</v>
      </c>
      <c r="B13" s="1" t="s">
        <v>39</v>
      </c>
      <c r="C13" s="1" t="s">
        <v>19</v>
      </c>
      <c r="D13" s="1" t="s">
        <v>20</v>
      </c>
      <c r="E13" s="1">
        <v>4</v>
      </c>
      <c r="F13" s="4">
        <v>30</v>
      </c>
      <c r="G13" s="2">
        <v>45335</v>
      </c>
      <c r="H13" s="1" t="s">
        <v>17</v>
      </c>
      <c r="I13" s="1">
        <v>0</v>
      </c>
      <c r="J13" s="4">
        <v>120</v>
      </c>
    </row>
    <row r="14" spans="1:13" x14ac:dyDescent="0.3">
      <c r="A14" s="1">
        <v>113</v>
      </c>
      <c r="B14" s="1" t="s">
        <v>40</v>
      </c>
      <c r="C14" s="1" t="s">
        <v>41</v>
      </c>
      <c r="D14" s="1" t="s">
        <v>16</v>
      </c>
      <c r="E14" s="1">
        <v>1</v>
      </c>
      <c r="F14" s="4">
        <v>220</v>
      </c>
      <c r="G14" s="2">
        <v>45337</v>
      </c>
      <c r="H14" s="1" t="s">
        <v>13</v>
      </c>
      <c r="I14" s="1">
        <v>5</v>
      </c>
      <c r="J14" s="4">
        <v>209</v>
      </c>
    </row>
    <row r="15" spans="1:13" x14ac:dyDescent="0.3">
      <c r="A15" s="1">
        <v>114</v>
      </c>
      <c r="B15" s="1" t="s">
        <v>42</v>
      </c>
      <c r="C15" s="1" t="s">
        <v>43</v>
      </c>
      <c r="D15" s="1" t="s">
        <v>23</v>
      </c>
      <c r="E15" s="1">
        <v>3</v>
      </c>
      <c r="F15" s="4">
        <v>40</v>
      </c>
      <c r="G15" s="2">
        <v>45340</v>
      </c>
      <c r="H15" s="1" t="s">
        <v>13</v>
      </c>
      <c r="I15" s="1">
        <v>5</v>
      </c>
      <c r="J15" s="4">
        <v>114</v>
      </c>
    </row>
    <row r="16" spans="1:13" x14ac:dyDescent="0.3">
      <c r="A16" s="1">
        <v>115</v>
      </c>
      <c r="B16" s="1" t="s">
        <v>44</v>
      </c>
      <c r="C16" s="1" t="s">
        <v>45</v>
      </c>
      <c r="D16" s="1" t="s">
        <v>12</v>
      </c>
      <c r="E16" s="1">
        <v>1</v>
      </c>
      <c r="F16" s="4">
        <v>150</v>
      </c>
      <c r="G16" s="2">
        <v>45342</v>
      </c>
      <c r="H16" s="1" t="s">
        <v>13</v>
      </c>
      <c r="I16" s="1">
        <v>0</v>
      </c>
      <c r="J16" s="4">
        <v>150</v>
      </c>
    </row>
    <row r="17" spans="1:10" x14ac:dyDescent="0.3">
      <c r="A17" s="1">
        <v>116</v>
      </c>
      <c r="B17" s="1" t="s">
        <v>46</v>
      </c>
      <c r="C17" s="1" t="s">
        <v>47</v>
      </c>
      <c r="D17" s="1" t="s">
        <v>23</v>
      </c>
      <c r="E17" s="1">
        <v>1</v>
      </c>
      <c r="F17" s="4">
        <v>300</v>
      </c>
      <c r="G17" s="2">
        <v>45345</v>
      </c>
      <c r="H17" s="1" t="s">
        <v>17</v>
      </c>
      <c r="I17" s="1">
        <v>10</v>
      </c>
      <c r="J17" s="4">
        <v>270</v>
      </c>
    </row>
    <row r="18" spans="1:10" x14ac:dyDescent="0.3">
      <c r="A18" s="1">
        <v>117</v>
      </c>
      <c r="B18" s="1" t="s">
        <v>48</v>
      </c>
      <c r="C18" s="1" t="s">
        <v>49</v>
      </c>
      <c r="D18" s="1" t="s">
        <v>16</v>
      </c>
      <c r="E18" s="1">
        <v>1</v>
      </c>
      <c r="F18" s="4">
        <v>1200</v>
      </c>
      <c r="G18" s="2">
        <v>45347</v>
      </c>
      <c r="H18" s="1" t="s">
        <v>13</v>
      </c>
      <c r="I18" s="1">
        <v>7</v>
      </c>
      <c r="J18" s="4">
        <v>1116</v>
      </c>
    </row>
    <row r="19" spans="1:10" x14ac:dyDescent="0.3">
      <c r="A19" s="1">
        <v>118</v>
      </c>
      <c r="B19" s="1" t="s">
        <v>50</v>
      </c>
      <c r="C19" s="1" t="s">
        <v>51</v>
      </c>
      <c r="D19" s="1" t="s">
        <v>16</v>
      </c>
      <c r="E19" s="1">
        <v>1</v>
      </c>
      <c r="F19" s="4">
        <v>350</v>
      </c>
      <c r="G19" s="2">
        <v>45350</v>
      </c>
      <c r="H19" s="1" t="s">
        <v>13</v>
      </c>
      <c r="I19" s="1">
        <v>5</v>
      </c>
      <c r="J19" s="4">
        <v>332</v>
      </c>
    </row>
    <row r="20" spans="1:10" x14ac:dyDescent="0.3">
      <c r="A20" s="1">
        <v>119</v>
      </c>
      <c r="B20" s="1" t="s">
        <v>52</v>
      </c>
      <c r="C20" s="1" t="s">
        <v>53</v>
      </c>
      <c r="D20" s="1" t="s">
        <v>20</v>
      </c>
      <c r="E20" s="1">
        <v>2</v>
      </c>
      <c r="F20" s="4">
        <v>80</v>
      </c>
      <c r="G20" s="2">
        <v>45353</v>
      </c>
      <c r="H20" s="1" t="s">
        <v>13</v>
      </c>
      <c r="I20" s="1">
        <v>0</v>
      </c>
      <c r="J20" s="4">
        <v>160</v>
      </c>
    </row>
    <row r="21" spans="1:10" x14ac:dyDescent="0.3">
      <c r="A21" s="1">
        <v>120</v>
      </c>
      <c r="B21" s="1" t="s">
        <v>54</v>
      </c>
      <c r="C21" s="1" t="s">
        <v>55</v>
      </c>
      <c r="D21" s="1" t="s">
        <v>23</v>
      </c>
      <c r="E21" s="1">
        <v>1</v>
      </c>
      <c r="F21" s="4">
        <v>700</v>
      </c>
      <c r="G21" s="2">
        <v>45356</v>
      </c>
      <c r="H21" s="1" t="s">
        <v>17</v>
      </c>
      <c r="I21" s="1">
        <v>5</v>
      </c>
      <c r="J21" s="4">
        <v>665</v>
      </c>
    </row>
  </sheetData>
  <conditionalFormatting sqref="H2:H21">
    <cfRule type="cellIs" dxfId="1" priority="2" operator="equal">
      <formula>"Delivered"</formula>
    </cfRule>
    <cfRule type="cellIs" dxfId="0" priority="1" operator="equal">
      <formula>"Pending"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Nabil Shajahan</dc:creator>
  <cp:lastModifiedBy>Nabil Shajahan</cp:lastModifiedBy>
  <dcterms:created xsi:type="dcterms:W3CDTF">2015-06-05T18:17:20Z</dcterms:created>
  <dcterms:modified xsi:type="dcterms:W3CDTF">2024-10-03T15:10:05Z</dcterms:modified>
</cp:coreProperties>
</file>